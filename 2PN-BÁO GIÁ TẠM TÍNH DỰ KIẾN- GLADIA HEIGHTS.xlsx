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502D6175-CE5E-4124-9609-3E7214397D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PN-71M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F23" i="1"/>
  <c r="D23" i="1"/>
  <c r="B23" i="1"/>
  <c r="G22" i="1"/>
  <c r="E22" i="1"/>
  <c r="G21" i="1"/>
  <c r="E21" i="1"/>
  <c r="I14" i="1"/>
  <c r="I18" i="1"/>
  <c r="I19" i="1"/>
  <c r="I20" i="1"/>
  <c r="I13" i="1"/>
  <c r="I23" i="1" s="1"/>
  <c r="C20" i="1"/>
  <c r="C18" i="1"/>
  <c r="C17" i="1"/>
  <c r="C16" i="1"/>
  <c r="C15" i="1"/>
  <c r="C14" i="1"/>
  <c r="C19" i="1"/>
  <c r="C13" i="1"/>
  <c r="C21" i="1" s="1"/>
  <c r="B12" i="1"/>
  <c r="B21" i="1"/>
  <c r="D21" i="1"/>
  <c r="F21" i="1"/>
  <c r="H21" i="1"/>
  <c r="I21" i="1"/>
  <c r="E14" i="1" l="1"/>
  <c r="E18" i="1"/>
  <c r="E20" i="1"/>
  <c r="E13" i="1"/>
  <c r="G14" i="1"/>
  <c r="G18" i="1"/>
  <c r="G20" i="1"/>
  <c r="G13" i="1"/>
  <c r="G23" i="1" s="1"/>
  <c r="C23" i="1"/>
  <c r="E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1"/>
            <color theme="1"/>
            <rFont val="Calibri"/>
            <scheme val="minor"/>
          </rPr>
          <t>Nhập tổng giá căn của dự án áp dụng. Mặc định 6,625 chỉ là số mẫu.</t>
        </r>
      </text>
    </comment>
  </commentList>
</comments>
</file>

<file path=xl/sharedStrings.xml><?xml version="1.0" encoding="utf-8"?>
<sst xmlns="http://schemas.openxmlformats.org/spreadsheetml/2006/main" count="50" uniqueCount="34">
  <si>
    <t>PHƯƠNG THỨC THANH TOÁN TẠM TÍNH
DỰ ÁN GLADIA HEIGHTS</t>
  </si>
  <si>
    <t>Tối ưu dòng tiền – Phù hợp mọi nhu cầu đầu tư</t>
  </si>
  <si>
    <t>Dự kiến bàn giao T12/2027 · Cấp sổ hồng 2028</t>
  </si>
  <si>
    <t>1. TẠM TÍNH CHO CĂN HỘ 2 PHÒNG NGỦ - 71M2 - CHƯA TRỪ ƯU ĐÃI</t>
  </si>
  <si>
    <t>Tổng giá VND</t>
  </si>
  <si>
    <t>Tạm tính</t>
  </si>
  <si>
    <t>Giữ chỗ</t>
  </si>
  <si>
    <t>Booking có hoàn lại</t>
  </si>
  <si>
    <t>Giá bàn giao tiêu chuẩn</t>
  </si>
  <si>
    <t>83 triệu/m2</t>
  </si>
  <si>
    <t xml:space="preserve">Giá bàn giao hoàn thiện </t>
  </si>
  <si>
    <t>91 triệu/m2</t>
  </si>
  <si>
    <t>LƯU Ý: QUÀ TẶNG BOOKING SỚM - ƯU ĐÃI TỚI 2%</t>
  </si>
  <si>
    <t>2 · GIÁ TRỊ THANH TOÁN theo giá căn áp dụng — đơn vị: đồng</t>
  </si>
  <si>
    <t>Mốc thanh toán</t>
  </si>
  <si>
    <t>LỊCH CHUẨN 10%</t>
  </si>
  <si>
    <t>LỊCH TT NHANH 50%</t>
  </si>
  <si>
    <t>LỊCH TT NHANH 70%</t>
  </si>
  <si>
    <t>LỊCH TT ĐẶC BIỆT</t>
  </si>
  <si>
    <t>Đặt cọc giữ chỗ có hoàn lại (cấn trừ Ký HĐMB)</t>
  </si>
  <si>
    <t>Ký HĐMB (2026)</t>
  </si>
  <si>
    <t>Đợt 2 (30 ngày / sau Ký HĐMB)</t>
  </si>
  <si>
    <t>Ngân hàng giải ngân</t>
  </si>
  <si>
    <t>Đợt 3</t>
  </si>
  <si>
    <t>—</t>
  </si>
  <si>
    <t>Đợt 4</t>
  </si>
  <si>
    <t>Đợt 5</t>
  </si>
  <si>
    <t>Nhận nhà (T12/2027)</t>
  </si>
  <si>
    <t>NH giải ngân (sau nhận nhà)</t>
  </si>
  <si>
    <t>Cấp GCN (2028)</t>
  </si>
  <si>
    <t>TỔNG GIÁ TRỊ CĂN (100%)</t>
  </si>
  <si>
    <t>Cashback nhận lại (đ)</t>
  </si>
  <si>
    <t>► Tổng vốn tới nhận nhà</t>
  </si>
  <si>
    <t xml:space="preserve">Với lịch đặc biệt - VAY NGÂN HÀNG - Khách hàng thanh toán 10% đến khi nhận nhà · Không trả gốc &amp; lãi trong 24 tháng kể từ ngày giải ngân đầu tiên.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</si>
</sst>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–"/>
  </numFmts>
  <fonts count="26">
    <font>
      <sz val="11"/>
      <color theme="1"/>
      <name val="Calibri"/>
      <scheme val="minor"/>
    </font>
    <font>
      <i/>
      <sz val="9"/>
      <color rgb="FF555555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0000FF"/>
      <name val="Arial"/>
    </font>
    <font>
      <i/>
      <sz val="8"/>
      <color rgb="FF777777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sz val="9"/>
      <color rgb="FF000000"/>
      <name val="Arial"/>
    </font>
    <font>
      <sz val="9"/>
      <color rgb="FFAAAAAA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i/>
      <sz val="9"/>
      <color rgb="FFAAAAAA"/>
      <name val="Arial"/>
    </font>
    <font>
      <b/>
      <sz val="9"/>
      <color rgb="FFC0392B"/>
      <name val="Arial"/>
    </font>
    <font>
      <b/>
      <sz val="9"/>
      <color rgb="FF0000FF"/>
      <name val="Arial"/>
    </font>
    <font>
      <i/>
      <sz val="9"/>
      <color rgb="FFC0392B"/>
      <name val="Arial"/>
    </font>
    <font>
      <b/>
      <sz val="10"/>
      <color rgb="FF000000"/>
      <name val="Arial"/>
    </font>
    <font>
      <b/>
      <sz val="10"/>
      <color rgb="FF0E5C3A"/>
      <name val="Arial"/>
    </font>
    <font>
      <sz val="9"/>
      <color rgb="FF444444"/>
      <name val="Arial"/>
    </font>
    <font>
      <b/>
      <sz val="11"/>
      <color theme="1"/>
      <name val="Calibri"/>
      <scheme val="minor"/>
    </font>
    <font>
      <b/>
      <sz val="9"/>
      <color theme="1"/>
      <name val="Arial"/>
    </font>
    <font>
      <b/>
      <sz val="9"/>
      <color rgb="FF8A6D00"/>
      <name val="Arial"/>
    </font>
    <font>
      <i/>
      <sz val="11"/>
      <color rgb="FF242424"/>
      <name val="Aptos Narrow"/>
      <charset val="1"/>
    </font>
    <font>
      <b/>
      <i/>
      <sz val="11"/>
      <color rgb="FF000000"/>
      <name val="Arial"/>
    </font>
    <font>
      <b/>
      <sz val="11"/>
      <color theme="4" tint="-0.249977111117893"/>
      <name val="Calibri"/>
      <scheme val="minor"/>
    </font>
    <font>
      <b/>
      <sz val="16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2B46"/>
        <bgColor rgb="FF0F2B46"/>
      </patternFill>
    </fill>
    <fill>
      <patternFill patternType="solid">
        <fgColor rgb="FFFFF7E0"/>
        <bgColor rgb="FFFFF7E0"/>
      </patternFill>
    </fill>
    <fill>
      <patternFill patternType="solid">
        <fgColor rgb="FFDCE3EA"/>
        <bgColor rgb="FFDCE3EA"/>
      </patternFill>
    </fill>
    <fill>
      <patternFill patternType="solid">
        <fgColor rgb="FFEAF6F0"/>
        <bgColor rgb="FFEAF6F0"/>
      </patternFill>
    </fill>
    <fill>
      <patternFill patternType="solid">
        <fgColor rgb="FFEDEFF2"/>
        <bgColor rgb="FFEDEF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thin">
        <color rgb="FFC9CDD2"/>
      </bottom>
      <diagonal/>
    </border>
    <border>
      <left style="thin">
        <color rgb="FFC9CDD2"/>
      </left>
      <right style="thin">
        <color rgb="FFC9CDD2"/>
      </right>
      <top/>
      <bottom style="thin">
        <color rgb="FFC9CDD2"/>
      </bottom>
      <diagonal/>
    </border>
    <border>
      <left style="thin">
        <color rgb="FF000000"/>
      </left>
      <right style="thin">
        <color rgb="FFC9CDD2"/>
      </right>
      <top style="thin">
        <color rgb="FF000000"/>
      </top>
      <bottom style="thin">
        <color rgb="FFC9CDD2"/>
      </bottom>
      <diagonal/>
    </border>
    <border>
      <left style="thin">
        <color rgb="FFC9CDD2"/>
      </left>
      <right style="thin">
        <color rgb="FF000000"/>
      </right>
      <top style="thin">
        <color rgb="FF000000"/>
      </top>
      <bottom style="thin">
        <color rgb="FFC9CDD2"/>
      </bottom>
      <diagonal/>
    </border>
    <border>
      <left style="thin">
        <color rgb="FF000000"/>
      </left>
      <right style="thin">
        <color rgb="FFC9CDD2"/>
      </right>
      <top style="thin">
        <color rgb="FFC9CDD2"/>
      </top>
      <bottom style="thin">
        <color rgb="FFC9CDD2"/>
      </bottom>
      <diagonal/>
    </border>
    <border>
      <left style="thin">
        <color rgb="FFC9CDD2"/>
      </left>
      <right style="thin">
        <color rgb="FF000000"/>
      </right>
      <top style="thin">
        <color rgb="FFC9CDD2"/>
      </top>
      <bottom style="thin">
        <color rgb="FFC9CDD2"/>
      </bottom>
      <diagonal/>
    </border>
    <border>
      <left style="thin">
        <color rgb="FFC9CDD2"/>
      </left>
      <right/>
      <top style="thin">
        <color rgb="FFC9CDD2"/>
      </top>
      <bottom style="thin">
        <color rgb="FFC9CDD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9CDD2"/>
      </right>
      <top style="thin">
        <color rgb="FF000000"/>
      </top>
      <bottom style="thin">
        <color rgb="FF000000"/>
      </bottom>
      <diagonal/>
    </border>
    <border>
      <left style="thin">
        <color rgb="FFC9CDD2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9CDD2"/>
      </right>
      <top style="thin">
        <color rgb="FFC9CDD2"/>
      </top>
      <bottom style="thin">
        <color rgb="FF000000"/>
      </bottom>
      <diagonal/>
    </border>
    <border>
      <left style="thin">
        <color rgb="FFC9CDD2"/>
      </left>
      <right style="thin">
        <color rgb="FF000000"/>
      </right>
      <top style="thin">
        <color rgb="FFC9CDD2"/>
      </top>
      <bottom style="thin">
        <color rgb="FF000000"/>
      </bottom>
      <diagonal/>
    </border>
    <border>
      <left style="thin">
        <color rgb="FFC9CDD2"/>
      </left>
      <right style="thin">
        <color rgb="FFC9CDD2"/>
      </right>
      <top style="thin">
        <color rgb="FF000000"/>
      </top>
      <bottom style="thin">
        <color rgb="FFC9CDD2"/>
      </bottom>
      <diagonal/>
    </border>
    <border>
      <left/>
      <right style="thin">
        <color rgb="FF000000"/>
      </right>
      <top/>
      <bottom/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thin">
        <color rgb="FF000000"/>
      </bottom>
      <diagonal/>
    </border>
    <border>
      <left style="thin">
        <color rgb="FFC9CDD2"/>
      </left>
      <right/>
      <top style="thin">
        <color rgb="FF000000"/>
      </top>
      <bottom style="thin">
        <color rgb="FFC9CDD2"/>
      </bottom>
      <diagonal/>
    </border>
    <border>
      <left style="thin">
        <color rgb="FFC9CDD2"/>
      </left>
      <right/>
      <top style="thin">
        <color rgb="FFC9CDD2"/>
      </top>
      <bottom style="thin">
        <color rgb="FF000000"/>
      </bottom>
      <diagonal/>
    </border>
    <border>
      <left style="thin">
        <color rgb="FFC9CDD2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9CDD2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0" fillId="0" borderId="1" xfId="0" applyBorder="1"/>
    <xf numFmtId="9" fontId="8" fillId="8" borderId="6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9" fontId="13" fillId="8" borderId="6" xfId="0" applyNumberFormat="1" applyFont="1" applyFill="1" applyBorder="1" applyAlignment="1">
      <alignment horizontal="center" vertical="center"/>
    </xf>
    <xf numFmtId="9" fontId="14" fillId="8" borderId="6" xfId="0" applyNumberFormat="1" applyFont="1" applyFill="1" applyBorder="1" applyAlignment="1">
      <alignment horizontal="center" vertical="center"/>
    </xf>
    <xf numFmtId="9" fontId="8" fillId="10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9" fontId="14" fillId="10" borderId="2" xfId="0" applyNumberFormat="1" applyFont="1" applyFill="1" applyBorder="1" applyAlignment="1">
      <alignment horizontal="center" vertical="center"/>
    </xf>
    <xf numFmtId="164" fontId="8" fillId="10" borderId="8" xfId="0" applyNumberFormat="1" applyFont="1" applyFill="1" applyBorder="1" applyAlignment="1">
      <alignment horizontal="right" vertical="center"/>
    </xf>
    <xf numFmtId="164" fontId="15" fillId="10" borderId="8" xfId="0" applyNumberFormat="1" applyFont="1" applyFill="1" applyBorder="1" applyAlignment="1">
      <alignment horizontal="right" vertical="center"/>
    </xf>
    <xf numFmtId="3" fontId="17" fillId="10" borderId="8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9" fontId="10" fillId="7" borderId="2" xfId="0" applyNumberFormat="1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right" vertical="center"/>
    </xf>
    <xf numFmtId="9" fontId="10" fillId="7" borderId="6" xfId="0" applyNumberFormat="1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right" vertical="center"/>
    </xf>
    <xf numFmtId="164" fontId="8" fillId="12" borderId="2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6" fillId="2" borderId="1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9" fillId="0" borderId="0" xfId="0" applyFont="1"/>
    <xf numFmtId="9" fontId="8" fillId="9" borderId="4" xfId="0" applyNumberFormat="1" applyFont="1" applyFill="1" applyBorder="1" applyAlignment="1">
      <alignment horizontal="center" vertical="center"/>
    </xf>
    <xf numFmtId="9" fontId="8" fillId="9" borderId="6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9" fontId="13" fillId="9" borderId="6" xfId="0" applyNumberFormat="1" applyFont="1" applyFill="1" applyBorder="1" applyAlignment="1">
      <alignment horizontal="center" vertical="center"/>
    </xf>
    <xf numFmtId="9" fontId="14" fillId="9" borderId="15" xfId="0" applyNumberFormat="1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horizontal="right" vertical="center"/>
    </xf>
    <xf numFmtId="3" fontId="17" fillId="8" borderId="8" xfId="0" applyNumberFormat="1" applyFont="1" applyFill="1" applyBorder="1" applyAlignment="1">
      <alignment horizontal="right" vertical="center"/>
    </xf>
    <xf numFmtId="9" fontId="8" fillId="10" borderId="4" xfId="0" applyNumberFormat="1" applyFont="1" applyFill="1" applyBorder="1" applyAlignment="1">
      <alignment horizontal="center" vertical="center"/>
    </xf>
    <xf numFmtId="164" fontId="8" fillId="10" borderId="17" xfId="0" applyNumberFormat="1" applyFont="1" applyFill="1" applyBorder="1" applyAlignment="1">
      <alignment horizontal="right" vertical="center"/>
    </xf>
    <xf numFmtId="164" fontId="8" fillId="10" borderId="5" xfId="0" applyNumberFormat="1" applyFont="1" applyFill="1" applyBorder="1" applyAlignment="1">
      <alignment horizontal="right" vertical="center"/>
    </xf>
    <xf numFmtId="9" fontId="8" fillId="12" borderId="6" xfId="0" applyNumberFormat="1" applyFont="1" applyFill="1" applyBorder="1" applyAlignment="1">
      <alignment horizontal="center" vertical="center"/>
    </xf>
    <xf numFmtId="0" fontId="0" fillId="12" borderId="18" xfId="0" applyFill="1" applyBorder="1"/>
    <xf numFmtId="0" fontId="9" fillId="10" borderId="6" xfId="0" applyFont="1" applyFill="1" applyBorder="1" applyAlignment="1">
      <alignment horizontal="center" vertical="center"/>
    </xf>
    <xf numFmtId="164" fontId="8" fillId="10" borderId="7" xfId="0" applyNumberFormat="1" applyFont="1" applyFill="1" applyBorder="1" applyAlignment="1">
      <alignment horizontal="right" vertical="center"/>
    </xf>
    <xf numFmtId="9" fontId="8" fillId="10" borderId="6" xfId="0" applyNumberFormat="1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9" fontId="14" fillId="10" borderId="15" xfId="0" applyNumberFormat="1" applyFont="1" applyFill="1" applyBorder="1" applyAlignment="1">
      <alignment horizontal="center" vertical="center"/>
    </xf>
    <xf numFmtId="3" fontId="17" fillId="10" borderId="19" xfId="0" applyNumberFormat="1" applyFont="1" applyFill="1" applyBorder="1" applyAlignment="1">
      <alignment horizontal="right" vertical="center"/>
    </xf>
    <xf numFmtId="164" fontId="8" fillId="10" borderId="16" xfId="0" applyNumberFormat="1" applyFont="1" applyFill="1" applyBorder="1" applyAlignment="1">
      <alignment horizontal="right" vertical="center"/>
    </xf>
    <xf numFmtId="164" fontId="8" fillId="9" borderId="20" xfId="0" applyNumberFormat="1" applyFont="1" applyFill="1" applyBorder="1" applyAlignment="1">
      <alignment horizontal="right" vertical="center"/>
    </xf>
    <xf numFmtId="164" fontId="8" fillId="9" borderId="8" xfId="0" applyNumberFormat="1" applyFont="1" applyFill="1" applyBorder="1" applyAlignment="1">
      <alignment horizontal="right" vertical="center"/>
    </xf>
    <xf numFmtId="3" fontId="17" fillId="9" borderId="2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4" fillId="11" borderId="9" xfId="0" applyFont="1" applyFill="1" applyBorder="1" applyAlignment="1">
      <alignment horizontal="right"/>
    </xf>
    <xf numFmtId="3" fontId="4" fillId="11" borderId="9" xfId="0" applyNumberFormat="1" applyFont="1" applyFill="1" applyBorder="1" applyAlignment="1">
      <alignment horizontal="right" vertical="center"/>
    </xf>
    <xf numFmtId="0" fontId="5" fillId="0" borderId="18" xfId="0" applyFont="1" applyBorder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0" fontId="25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20" fillId="10" borderId="12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3" fontId="10" fillId="10" borderId="22" xfId="0" applyNumberFormat="1" applyFont="1" applyFill="1" applyBorder="1" applyAlignment="1">
      <alignment horizontal="center" vertical="center"/>
    </xf>
    <xf numFmtId="3" fontId="10" fillId="10" borderId="23" xfId="0" applyNumberFormat="1" applyFont="1" applyFill="1" applyBorder="1" applyAlignment="1">
      <alignment horizontal="center" vertical="center"/>
    </xf>
    <xf numFmtId="3" fontId="10" fillId="10" borderId="2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83"/>
  <sheetViews>
    <sheetView showGridLines="0" tabSelected="1" workbookViewId="0">
      <selection activeCell="N17" sqref="N17"/>
    </sheetView>
  </sheetViews>
  <sheetFormatPr defaultColWidth="14.42578125" defaultRowHeight="15" customHeight="1"/>
  <cols>
    <col min="1" max="1" width="37.140625" customWidth="1"/>
    <col min="2" max="2" width="8.140625" customWidth="1"/>
    <col min="3" max="3" width="14.28515625" customWidth="1"/>
    <col min="4" max="4" width="8.7109375" customWidth="1"/>
    <col min="5" max="5" width="14.85546875" customWidth="1"/>
    <col min="6" max="6" width="8" customWidth="1"/>
    <col min="7" max="7" width="16.5703125" customWidth="1"/>
    <col min="8" max="8" width="7.7109375" customWidth="1"/>
    <col min="9" max="9" width="15.7109375" customWidth="1"/>
    <col min="10" max="10" width="18.7109375" customWidth="1"/>
    <col min="11" max="30" width="8.7109375" customWidth="1"/>
  </cols>
  <sheetData>
    <row r="1" spans="1:10" ht="63" customHeight="1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ht="22.5" customHeight="1">
      <c r="A3" s="61" t="s">
        <v>2</v>
      </c>
      <c r="B3" s="61"/>
      <c r="C3" s="61"/>
      <c r="D3" s="61"/>
      <c r="E3" s="61"/>
      <c r="F3" s="61"/>
      <c r="G3" s="61"/>
      <c r="H3" s="61"/>
      <c r="I3" s="61"/>
      <c r="J3" s="61"/>
    </row>
    <row r="4" spans="1:10">
      <c r="A4" s="62" t="s">
        <v>3</v>
      </c>
      <c r="B4" s="62"/>
      <c r="C4" s="63"/>
      <c r="D4" s="62"/>
      <c r="E4" s="62"/>
      <c r="F4" s="62"/>
      <c r="G4" s="62"/>
      <c r="H4" s="62"/>
      <c r="I4" s="62"/>
      <c r="J4" s="62"/>
    </row>
    <row r="5" spans="1:10">
      <c r="A5" s="1" t="s">
        <v>4</v>
      </c>
      <c r="B5" s="20"/>
      <c r="C5" s="55">
        <v>6800000000</v>
      </c>
      <c r="D5" s="52" t="s">
        <v>5</v>
      </c>
    </row>
    <row r="6" spans="1:10">
      <c r="A6" s="1" t="s">
        <v>6</v>
      </c>
      <c r="B6" s="20"/>
      <c r="C6" s="55">
        <v>100000000</v>
      </c>
      <c r="D6" s="56" t="s">
        <v>7</v>
      </c>
    </row>
    <row r="7" spans="1:10">
      <c r="A7" t="s">
        <v>8</v>
      </c>
      <c r="B7" s="7"/>
      <c r="C7" s="54" t="s">
        <v>9</v>
      </c>
      <c r="D7" s="53" t="s">
        <v>5</v>
      </c>
      <c r="E7" s="7"/>
    </row>
    <row r="8" spans="1:10">
      <c r="A8" t="s">
        <v>10</v>
      </c>
      <c r="B8" s="7"/>
      <c r="C8" s="54" t="s">
        <v>11</v>
      </c>
      <c r="D8" s="53" t="s">
        <v>5</v>
      </c>
    </row>
    <row r="9" spans="1:10">
      <c r="A9" s="76" t="s">
        <v>12</v>
      </c>
      <c r="B9" s="76"/>
      <c r="C9" s="77"/>
      <c r="D9" s="76"/>
      <c r="E9" s="76"/>
      <c r="F9" s="76"/>
      <c r="G9" s="76"/>
      <c r="H9" s="76"/>
      <c r="I9" s="76"/>
      <c r="J9" s="76"/>
    </row>
    <row r="10" spans="1:10" ht="15.75" customHeight="1">
      <c r="A10" s="26" t="s">
        <v>13</v>
      </c>
      <c r="B10" s="26"/>
      <c r="C10" s="26"/>
      <c r="D10" s="26"/>
      <c r="E10" s="26"/>
      <c r="F10" s="26"/>
      <c r="G10" s="26"/>
      <c r="H10" s="26"/>
      <c r="I10" s="26"/>
      <c r="J10" s="26"/>
    </row>
    <row r="11" spans="1:10" s="29" customFormat="1" ht="30" customHeight="1">
      <c r="A11" s="27" t="s">
        <v>14</v>
      </c>
      <c r="B11" s="66" t="s">
        <v>15</v>
      </c>
      <c r="C11" s="67"/>
      <c r="D11" s="68" t="s">
        <v>16</v>
      </c>
      <c r="E11" s="69"/>
      <c r="F11" s="70" t="s">
        <v>17</v>
      </c>
      <c r="G11" s="71"/>
      <c r="H11" s="72" t="s">
        <v>18</v>
      </c>
      <c r="I11" s="72"/>
      <c r="J11" s="67"/>
    </row>
    <row r="12" spans="1:10" ht="15.75" customHeight="1">
      <c r="A12" s="28" t="s">
        <v>19</v>
      </c>
      <c r="B12" s="73">
        <f>$C$6</f>
        <v>100000000</v>
      </c>
      <c r="C12" s="74"/>
      <c r="D12" s="74"/>
      <c r="E12" s="74"/>
      <c r="F12" s="74"/>
      <c r="G12" s="74"/>
      <c r="H12" s="74"/>
      <c r="I12" s="74"/>
      <c r="J12" s="75"/>
    </row>
    <row r="13" spans="1:10" ht="15.75" customHeight="1">
      <c r="A13" s="2" t="s">
        <v>20</v>
      </c>
      <c r="B13" s="12">
        <v>0.1</v>
      </c>
      <c r="C13" s="17">
        <f>C5*$B$13</f>
        <v>680000000</v>
      </c>
      <c r="D13" s="8">
        <v>0.1</v>
      </c>
      <c r="E13" s="35">
        <f>$E$21*D13</f>
        <v>618800000</v>
      </c>
      <c r="F13" s="30">
        <v>0.1</v>
      </c>
      <c r="G13" s="49">
        <f>$G$21*F13</f>
        <v>598400000</v>
      </c>
      <c r="H13" s="37">
        <v>0.1</v>
      </c>
      <c r="I13" s="38">
        <f>$C$5*H13</f>
        <v>680000000</v>
      </c>
      <c r="J13" s="39"/>
    </row>
    <row r="14" spans="1:10" ht="15.75" customHeight="1">
      <c r="A14" s="2" t="s">
        <v>21</v>
      </c>
      <c r="B14" s="12">
        <v>0.05</v>
      </c>
      <c r="C14" s="17">
        <f>C5*B14</f>
        <v>340000000</v>
      </c>
      <c r="D14" s="8">
        <v>0.4</v>
      </c>
      <c r="E14" s="35">
        <f>$E$21*D14</f>
        <v>2475200000</v>
      </c>
      <c r="F14" s="31">
        <v>0.6</v>
      </c>
      <c r="G14" s="50">
        <f>$G$21*F14</f>
        <v>3590400000</v>
      </c>
      <c r="H14" s="40">
        <v>0.4</v>
      </c>
      <c r="I14" s="25">
        <f>$C$5*H14</f>
        <v>2720000000</v>
      </c>
      <c r="J14" s="41" t="s">
        <v>22</v>
      </c>
    </row>
    <row r="15" spans="1:10" ht="15.75" customHeight="1">
      <c r="A15" s="2" t="s">
        <v>23</v>
      </c>
      <c r="B15" s="12">
        <v>0.05</v>
      </c>
      <c r="C15" s="17">
        <f>C5*B15</f>
        <v>340000000</v>
      </c>
      <c r="D15" s="9" t="s">
        <v>24</v>
      </c>
      <c r="E15" s="35"/>
      <c r="F15" s="32" t="s">
        <v>24</v>
      </c>
      <c r="G15" s="50"/>
      <c r="H15" s="42" t="s">
        <v>24</v>
      </c>
      <c r="I15" s="13"/>
      <c r="J15" s="43"/>
    </row>
    <row r="16" spans="1:10" ht="15.75" customHeight="1">
      <c r="A16" s="2" t="s">
        <v>25</v>
      </c>
      <c r="B16" s="12">
        <v>0.05</v>
      </c>
      <c r="C16" s="17">
        <f>C5*B16</f>
        <v>340000000</v>
      </c>
      <c r="D16" s="9" t="s">
        <v>24</v>
      </c>
      <c r="E16" s="35"/>
      <c r="F16" s="32" t="s">
        <v>24</v>
      </c>
      <c r="G16" s="50"/>
      <c r="H16" s="42" t="s">
        <v>24</v>
      </c>
      <c r="I16" s="13"/>
      <c r="J16" s="43"/>
    </row>
    <row r="17" spans="1:10" ht="15.75" customHeight="1">
      <c r="A17" s="2" t="s">
        <v>26</v>
      </c>
      <c r="B17" s="12">
        <v>0.05</v>
      </c>
      <c r="C17" s="17">
        <f>C5*B17</f>
        <v>340000000</v>
      </c>
      <c r="D17" s="9" t="s">
        <v>24</v>
      </c>
      <c r="E17" s="35"/>
      <c r="F17" s="32" t="s">
        <v>24</v>
      </c>
      <c r="G17" s="50"/>
      <c r="H17" s="42" t="s">
        <v>24</v>
      </c>
      <c r="I17" s="13"/>
      <c r="J17" s="43"/>
    </row>
    <row r="18" spans="1:10" ht="15.75" customHeight="1">
      <c r="A18" s="3" t="s">
        <v>27</v>
      </c>
      <c r="B18" s="12">
        <v>0.65</v>
      </c>
      <c r="C18" s="17">
        <f>C5*B18</f>
        <v>4420000000</v>
      </c>
      <c r="D18" s="8">
        <v>0.45</v>
      </c>
      <c r="E18" s="35">
        <f t="shared" ref="E18:E20" si="0">$E$21*D18</f>
        <v>2784600000</v>
      </c>
      <c r="F18" s="31">
        <v>0.25</v>
      </c>
      <c r="G18" s="50">
        <f>$G$21*F18</f>
        <v>1496000000</v>
      </c>
      <c r="H18" s="44">
        <v>0.1</v>
      </c>
      <c r="I18" s="13">
        <f>$C$5*H18</f>
        <v>680000000</v>
      </c>
      <c r="J18" s="43"/>
    </row>
    <row r="19" spans="1:10" ht="15.75" customHeight="1">
      <c r="A19" s="2" t="s">
        <v>28</v>
      </c>
      <c r="B19" s="14" t="s">
        <v>24</v>
      </c>
      <c r="C19" s="17">
        <f>C12*$B$13</f>
        <v>0</v>
      </c>
      <c r="D19" s="9" t="s">
        <v>24</v>
      </c>
      <c r="E19" s="35"/>
      <c r="F19" s="32" t="s">
        <v>24</v>
      </c>
      <c r="G19" s="50"/>
      <c r="H19" s="40">
        <v>0.35</v>
      </c>
      <c r="I19" s="25">
        <f>$C$5*H19</f>
        <v>2380000000</v>
      </c>
      <c r="J19" s="41" t="s">
        <v>22</v>
      </c>
    </row>
    <row r="20" spans="1:10" ht="15.75" customHeight="1">
      <c r="A20" s="2" t="s">
        <v>29</v>
      </c>
      <c r="B20" s="12">
        <v>0.05</v>
      </c>
      <c r="C20" s="17">
        <f>C5*B20</f>
        <v>340000000</v>
      </c>
      <c r="D20" s="8">
        <v>0.05</v>
      </c>
      <c r="E20" s="35">
        <f t="shared" si="0"/>
        <v>309400000</v>
      </c>
      <c r="F20" s="31">
        <v>0.05</v>
      </c>
      <c r="G20" s="50">
        <f>$G$21*F20</f>
        <v>299200000</v>
      </c>
      <c r="H20" s="44">
        <v>0.05</v>
      </c>
      <c r="I20" s="13">
        <f>$C$5*H20</f>
        <v>340000000</v>
      </c>
      <c r="J20" s="43"/>
    </row>
    <row r="21" spans="1:10" ht="15.75" customHeight="1">
      <c r="A21" s="4" t="s">
        <v>30</v>
      </c>
      <c r="B21" s="21">
        <f t="shared" ref="B21" si="1">SUM(B13:B20)</f>
        <v>1</v>
      </c>
      <c r="C21" s="22">
        <f>SUM(C13:C20)</f>
        <v>6800000000</v>
      </c>
      <c r="D21" s="23">
        <f t="shared" ref="D21:I21" si="2">SUM(D13:D20)</f>
        <v>1</v>
      </c>
      <c r="E21" s="22">
        <f>C5*0.91</f>
        <v>6188000000</v>
      </c>
      <c r="F21" s="23">
        <f t="shared" si="2"/>
        <v>1</v>
      </c>
      <c r="G21" s="22">
        <f>C5*0.88</f>
        <v>5984000000</v>
      </c>
      <c r="H21" s="23">
        <f t="shared" si="2"/>
        <v>1</v>
      </c>
      <c r="I21" s="24">
        <f t="shared" si="2"/>
        <v>6800000000</v>
      </c>
      <c r="J21" s="43"/>
    </row>
    <row r="22" spans="1:10" ht="15.75" customHeight="1">
      <c r="A22" s="5" t="s">
        <v>31</v>
      </c>
      <c r="B22" s="15" t="s">
        <v>24</v>
      </c>
      <c r="C22" s="18"/>
      <c r="D22" s="10">
        <v>0.09</v>
      </c>
      <c r="E22" s="35">
        <f>C5*9%</f>
        <v>612000000</v>
      </c>
      <c r="F22" s="33">
        <v>0.12</v>
      </c>
      <c r="G22" s="50">
        <f>C5*F22</f>
        <v>816000000</v>
      </c>
      <c r="H22" s="45" t="s">
        <v>24</v>
      </c>
      <c r="I22" s="13"/>
      <c r="J22" s="43"/>
    </row>
    <row r="23" spans="1:10" ht="15.75" customHeight="1">
      <c r="A23" s="6" t="s">
        <v>32</v>
      </c>
      <c r="B23" s="16">
        <f>SUM(B13:B17)</f>
        <v>0.3</v>
      </c>
      <c r="C23" s="19">
        <f>B23*C21</f>
        <v>2040000000</v>
      </c>
      <c r="D23" s="11">
        <f>SUM(D13:D14)</f>
        <v>0.5</v>
      </c>
      <c r="E23" s="36">
        <f>D23*E21</f>
        <v>3094000000</v>
      </c>
      <c r="F23" s="34">
        <f>SUM(F13:F14)</f>
        <v>0.7</v>
      </c>
      <c r="G23" s="51">
        <f>SUM(G13:G14)</f>
        <v>4188800000</v>
      </c>
      <c r="H23" s="46">
        <f>H13</f>
        <v>0.1</v>
      </c>
      <c r="I23" s="47">
        <f>I13</f>
        <v>680000000</v>
      </c>
      <c r="J23" s="48"/>
    </row>
    <row r="24" spans="1:10" ht="15.75" customHeight="1">
      <c r="A24" s="64" t="s">
        <v>33</v>
      </c>
      <c r="B24" s="65"/>
      <c r="C24" s="65"/>
      <c r="D24" s="65"/>
      <c r="E24" s="65"/>
      <c r="F24" s="65"/>
      <c r="G24" s="65"/>
      <c r="H24" s="65"/>
      <c r="I24" s="65"/>
      <c r="J24" s="65"/>
    </row>
    <row r="25" spans="1:10" ht="15.75" customHeight="1"/>
    <row r="26" spans="1:10" ht="24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</row>
    <row r="27" spans="1:10" ht="24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</row>
    <row r="28" spans="1:10" ht="24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</row>
    <row r="29" spans="1:10" ht="24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</row>
    <row r="30" spans="1:10" ht="24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</row>
    <row r="31" spans="1:10" ht="24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</row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7">
    <mergeCell ref="A30:J30"/>
    <mergeCell ref="A31:J31"/>
    <mergeCell ref="A1:J1"/>
    <mergeCell ref="A2:J2"/>
    <mergeCell ref="A3:J3"/>
    <mergeCell ref="A4:J4"/>
    <mergeCell ref="A24:J24"/>
    <mergeCell ref="A26:J26"/>
    <mergeCell ref="A27:J27"/>
    <mergeCell ref="A28:J28"/>
    <mergeCell ref="B11:C11"/>
    <mergeCell ref="D11:E11"/>
    <mergeCell ref="F11:G11"/>
    <mergeCell ref="H11:J11"/>
    <mergeCell ref="B12:J12"/>
    <mergeCell ref="A9:J9"/>
    <mergeCell ref="A29:J29"/>
  </mergeCells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2026-06-12T08:49:24Z</dcterms:created>
  <dcterms:modified xsi:type="dcterms:W3CDTF">2026-06-12T09:39:14Z</dcterms:modified>
  <cp:category/>
  <cp:contentStatus/>
</cp:coreProperties>
</file>